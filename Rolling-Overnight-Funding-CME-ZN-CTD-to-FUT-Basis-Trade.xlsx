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as\Documents\EXCEL\"/>
    </mc:Choice>
  </mc:AlternateContent>
  <xr:revisionPtr revIDLastSave="0" documentId="8_{1A41A22D-1BA1-4A88-BA88-278B8F003306}" xr6:coauthVersionLast="47" xr6:coauthVersionMax="47" xr10:uidLastSave="{00000000-0000-0000-0000-000000000000}"/>
  <bookViews>
    <workbookView xWindow="-120" yWindow="-120" windowWidth="29040" windowHeight="15990" xr2:uid="{C8160AF4-0ABE-4DD5-9F9D-68842C0B4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" i="1" l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4" i="1"/>
  <c r="M4" i="1" s="1"/>
  <c r="F9" i="1" l="1"/>
</calcChain>
</file>

<file path=xl/sharedStrings.xml><?xml version="1.0" encoding="utf-8"?>
<sst xmlns="http://schemas.openxmlformats.org/spreadsheetml/2006/main" count="20" uniqueCount="17">
  <si>
    <t>Financing</t>
  </si>
  <si>
    <t>Term</t>
  </si>
  <si>
    <t>SOFR</t>
  </si>
  <si>
    <t>(days)</t>
  </si>
  <si>
    <t>(Bps)</t>
  </si>
  <si>
    <t>ZN Hedge</t>
  </si>
  <si>
    <t>CTD Yield</t>
  </si>
  <si>
    <t>(bps)</t>
  </si>
  <si>
    <t>Product</t>
  </si>
  <si>
    <t>Trade</t>
  </si>
  <si>
    <t>Notional</t>
  </si>
  <si>
    <t>TR</t>
  </si>
  <si>
    <t>(usd)</t>
  </si>
  <si>
    <t>Bps Return</t>
  </si>
  <si>
    <t>$ Return</t>
  </si>
  <si>
    <t>TOT RET</t>
  </si>
  <si>
    <t>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</si>
</sst>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3" borderId="2" xfId="0" applyFill="1" applyBorder="1"/>
    <xf numFmtId="0" fontId="0" fillId="4" borderId="3" xfId="0" applyFill="1" applyBorder="1"/>
    <xf numFmtId="0" fontId="1" fillId="5" borderId="4" xfId="0" applyFont="1" applyFill="1" applyBorder="1"/>
    <xf numFmtId="0" fontId="1" fillId="6" borderId="0" xfId="0" applyFont="1" applyFill="1"/>
    <xf numFmtId="0" fontId="1" fillId="6" borderId="0" xfId="0" applyFont="1" applyFill="1" applyBorder="1"/>
    <xf numFmtId="0" fontId="0" fillId="7" borderId="4" xfId="0" applyFill="1" applyBorder="1"/>
    <xf numFmtId="0" fontId="0" fillId="8" borderId="4" xfId="0" applyFill="1" applyBorder="1"/>
    <xf numFmtId="0" fontId="2" fillId="9" borderId="4" xfId="0" applyFont="1" applyFill="1" applyBorder="1"/>
    <xf numFmtId="0" fontId="0" fillId="1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SOFR @ Term Maturity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Sheet1!$C$4:$C$21</c:f>
              <c:numCache>
                <c:formatCode>General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xVal>
          <c:yVal>
            <c:numRef>
              <c:f>Sheet1!$D$4:$D$21</c:f>
              <c:numCache>
                <c:formatCode>General</c:formatCode>
                <c:ptCount val="18"/>
                <c:pt idx="0">
                  <c:v>383</c:v>
                </c:pt>
                <c:pt idx="1">
                  <c:v>384</c:v>
                </c:pt>
                <c:pt idx="2">
                  <c:v>385</c:v>
                </c:pt>
                <c:pt idx="3">
                  <c:v>386</c:v>
                </c:pt>
                <c:pt idx="4">
                  <c:v>387</c:v>
                </c:pt>
                <c:pt idx="5">
                  <c:v>388</c:v>
                </c:pt>
                <c:pt idx="6">
                  <c:v>389</c:v>
                </c:pt>
                <c:pt idx="7">
                  <c:v>390</c:v>
                </c:pt>
                <c:pt idx="8">
                  <c:v>391</c:v>
                </c:pt>
                <c:pt idx="9">
                  <c:v>392</c:v>
                </c:pt>
                <c:pt idx="10">
                  <c:v>393</c:v>
                </c:pt>
                <c:pt idx="11">
                  <c:v>394</c:v>
                </c:pt>
                <c:pt idx="12">
                  <c:v>395</c:v>
                </c:pt>
                <c:pt idx="13">
                  <c:v>396</c:v>
                </c:pt>
                <c:pt idx="14">
                  <c:v>397</c:v>
                </c:pt>
                <c:pt idx="15">
                  <c:v>398</c:v>
                </c:pt>
                <c:pt idx="16">
                  <c:v>399</c:v>
                </c:pt>
                <c:pt idx="17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DC-466D-A12A-FDA8E460E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322319"/>
        <c:axId val="1352627407"/>
      </c:scatterChart>
      <c:valAx>
        <c:axId val="134532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627407"/>
        <c:crosses val="autoZero"/>
        <c:crossBetween val="midCat"/>
      </c:valAx>
      <c:valAx>
        <c:axId val="135262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Basis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322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Carry @ Term Maturity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circle"/>
            <c:size val="6"/>
            <c:spPr>
              <a:solidFill>
                <a:schemeClr val="accent2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Sheet1!$K$4:$K$21</c:f>
              <c:numCache>
                <c:formatCode>General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xVal>
          <c:yVal>
            <c:numRef>
              <c:f>Sheet1!$L$4:$L$21</c:f>
              <c:numCache>
                <c:formatCode>General</c:formatCode>
                <c:ptCount val="18"/>
                <c:pt idx="0">
                  <c:v>17</c:v>
                </c:pt>
                <c:pt idx="1">
                  <c:v>16</c:v>
                </c:pt>
                <c:pt idx="2">
                  <c:v>15</c:v>
                </c:pt>
                <c:pt idx="3">
                  <c:v>14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56-402B-97D8-3EE084E48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338383"/>
        <c:axId val="1363052335"/>
      </c:scatterChart>
      <c:valAx>
        <c:axId val="1370338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052335"/>
        <c:crosses val="autoZero"/>
        <c:crossBetween val="midCat"/>
      </c:valAx>
      <c:valAx>
        <c:axId val="136305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Basis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338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RETURN USD @ TERM MATURITY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circle"/>
            <c:size val="6"/>
            <c:spPr>
              <a:solidFill>
                <a:schemeClr val="accent6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Sheet1!$K$4:$K$21</c:f>
              <c:numCache>
                <c:formatCode>General</c:formatCode>
                <c:ptCount val="1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</c:numCache>
            </c:numRef>
          </c:xVal>
          <c:yVal>
            <c:numRef>
              <c:f>Sheet1!$M$4:$M$21</c:f>
              <c:numCache>
                <c:formatCode>General</c:formatCode>
                <c:ptCount val="18"/>
                <c:pt idx="0">
                  <c:v>23.61389875333407</c:v>
                </c:pt>
                <c:pt idx="1">
                  <c:v>22.224691540934145</c:v>
                </c:pt>
                <c:pt idx="2">
                  <c:v>20.835503622933174</c:v>
                </c:pt>
                <c:pt idx="3">
                  <c:v>19.446334999083774</c:v>
                </c:pt>
                <c:pt idx="4">
                  <c:v>18.057185669094906</c:v>
                </c:pt>
                <c:pt idx="5">
                  <c:v>16.668055632719188</c:v>
                </c:pt>
                <c:pt idx="6">
                  <c:v>15.278944889680133</c:v>
                </c:pt>
                <c:pt idx="7">
                  <c:v>13.889853439701255</c:v>
                </c:pt>
                <c:pt idx="8">
                  <c:v>12.500781282549724</c:v>
                </c:pt>
                <c:pt idx="9">
                  <c:v>11.111728417919949</c:v>
                </c:pt>
                <c:pt idx="10">
                  <c:v>9.722694845564547</c:v>
                </c:pt>
                <c:pt idx="11">
                  <c:v>8.3336805652070325</c:v>
                </c:pt>
                <c:pt idx="12">
                  <c:v>6.9446855765563669</c:v>
                </c:pt>
                <c:pt idx="13">
                  <c:v>5.5557098793942714</c:v>
                </c:pt>
                <c:pt idx="14">
                  <c:v>4.1667534734297078</c:v>
                </c:pt>
                <c:pt idx="15">
                  <c:v>2.7778163583861897</c:v>
                </c:pt>
                <c:pt idx="16">
                  <c:v>1.3888985340017825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44-4760-B3BF-2E980C159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086655"/>
        <c:axId val="1363056175"/>
      </c:scatterChart>
      <c:valAx>
        <c:axId val="149408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056175"/>
        <c:crosses val="autoZero"/>
        <c:crossBetween val="midCat"/>
      </c:valAx>
      <c:valAx>
        <c:axId val="136305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 RETURN</a:t>
                </a:r>
                <a:r>
                  <a:rPr lang="en-US" baseline="0"/>
                  <a:t> USD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086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457198</xdr:colOff>
      <xdr:row>1</xdr:row>
      <xdr:rowOff>52386</xdr:rowOff>
    </xdr:from>
    <xdr:to>
      <xdr:col>23</xdr:col>
      <xdr:colOff>504825</xdr:colOff>
      <xdr:row>20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4AB6B3-BFBC-DE0D-BAD6-64A67810F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457200</xdr:colOff>
      <xdr:row>21</xdr:row>
      <xdr:rowOff>38099</xdr:rowOff>
    </xdr:from>
    <xdr:to>
      <xdr:col>23</xdr:col>
      <xdr:colOff>533400</xdr:colOff>
      <xdr:row>43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A57318-AF0A-C50A-9328-D26647480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447674</xdr:colOff>
      <xdr:row>43</xdr:row>
      <xdr:rowOff>109536</xdr:rowOff>
    </xdr:from>
    <xdr:to>
      <xdr:col>23</xdr:col>
      <xdr:colOff>581025</xdr:colOff>
      <xdr:row>63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EA107D-9385-F47F-E1D8-9990D4BDD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0F91-ABA9-4443-8268-7DB2166A7763}">
  <dimension ref="B1:N54"/>
  <sheetViews>
    <sheetView tabSelected="1" zoomScale="150" zoomScaleNormal="150" workbookViewId="0">
      <selection activeCell="F20" sqref="F20"/>
    </sheetView>
  </sheetViews>
  <sheetFormatPr defaultRowHeight="15" x14ac:dyDescent="0.25"/>
  <cols>
    <col min="2" max="2" width="9.42578125" customWidth="1"/>
    <col min="6" max="6" width="9.5703125" customWidth="1"/>
    <col min="7" max="7" width="10.140625" customWidth="1"/>
    <col min="12" max="12" width="10.85546875" customWidth="1"/>
    <col min="13" max="13" width="11.42578125" customWidth="1"/>
  </cols>
  <sheetData>
    <row r="1" spans="2:14" ht="15.75" thickBot="1" x14ac:dyDescent="0.3"/>
    <row r="2" spans="2:14" ht="15.75" thickBot="1" x14ac:dyDescent="0.3">
      <c r="B2" s="6" t="s">
        <v>0</v>
      </c>
      <c r="C2" t="s">
        <v>3</v>
      </c>
      <c r="D2" t="s">
        <v>4</v>
      </c>
      <c r="E2" s="6" t="s">
        <v>8</v>
      </c>
      <c r="F2" t="s">
        <v>7</v>
      </c>
      <c r="G2" t="s">
        <v>7</v>
      </c>
      <c r="H2" s="6" t="s">
        <v>9</v>
      </c>
      <c r="I2" t="s">
        <v>12</v>
      </c>
      <c r="J2" s="6" t="s">
        <v>11</v>
      </c>
      <c r="K2" t="s">
        <v>3</v>
      </c>
    </row>
    <row r="3" spans="2:14" ht="15.75" thickBot="1" x14ac:dyDescent="0.3">
      <c r="C3" s="5" t="s">
        <v>1</v>
      </c>
      <c r="D3" s="5" t="s">
        <v>2</v>
      </c>
      <c r="F3" s="5" t="s">
        <v>5</v>
      </c>
      <c r="G3" s="5" t="s">
        <v>6</v>
      </c>
      <c r="I3" s="5" t="s">
        <v>10</v>
      </c>
      <c r="K3" s="5" t="s">
        <v>1</v>
      </c>
      <c r="L3" s="7" t="s">
        <v>13</v>
      </c>
      <c r="M3" s="8" t="s">
        <v>14</v>
      </c>
    </row>
    <row r="4" spans="2:14" ht="15.75" thickBot="1" x14ac:dyDescent="0.3">
      <c r="B4">
        <v>383</v>
      </c>
      <c r="C4" s="1">
        <v>5</v>
      </c>
      <c r="D4" s="3">
        <v>383</v>
      </c>
      <c r="F4" s="3">
        <v>100</v>
      </c>
      <c r="G4" s="3">
        <v>500</v>
      </c>
      <c r="I4" s="3">
        <v>100000</v>
      </c>
      <c r="K4" s="1">
        <v>5</v>
      </c>
      <c r="L4" s="9">
        <f>$G$4-$F$4-D4</f>
        <v>17</v>
      </c>
      <c r="M4" s="10">
        <f>(($I$4*EXP((L4)/(1000)*(5/360)))-($I$4))</f>
        <v>23.61389875333407</v>
      </c>
      <c r="N4">
        <v>5</v>
      </c>
    </row>
    <row r="5" spans="2:14" ht="15.75" thickBot="1" x14ac:dyDescent="0.3">
      <c r="B5">
        <v>384</v>
      </c>
      <c r="C5" s="2">
        <v>10</v>
      </c>
      <c r="D5" s="4">
        <v>384</v>
      </c>
      <c r="K5" s="2">
        <v>10</v>
      </c>
      <c r="L5" s="9">
        <f t="shared" ref="L5:L21" si="0">$G$4-$F$4-D5</f>
        <v>16</v>
      </c>
      <c r="M5" s="10">
        <f t="shared" ref="M5:O21" si="1">(($I$4*EXP((L5)/(1000)*(5/360)))-($I$4))</f>
        <v>22.224691540934145</v>
      </c>
      <c r="N5">
        <v>10</v>
      </c>
    </row>
    <row r="6" spans="2:14" ht="15.75" thickBot="1" x14ac:dyDescent="0.3">
      <c r="B6">
        <v>385</v>
      </c>
      <c r="C6" s="2">
        <v>15</v>
      </c>
      <c r="D6" s="3">
        <v>385</v>
      </c>
      <c r="K6" s="2">
        <v>15</v>
      </c>
      <c r="L6" s="9">
        <f t="shared" si="0"/>
        <v>15</v>
      </c>
      <c r="M6" s="10">
        <f t="shared" si="1"/>
        <v>20.835503622933174</v>
      </c>
      <c r="N6">
        <v>15</v>
      </c>
    </row>
    <row r="7" spans="2:14" ht="15.75" thickBot="1" x14ac:dyDescent="0.3">
      <c r="B7">
        <v>386</v>
      </c>
      <c r="C7" s="2">
        <v>20</v>
      </c>
      <c r="D7" s="4">
        <v>386</v>
      </c>
      <c r="F7" t="s">
        <v>16</v>
      </c>
      <c r="K7" s="2">
        <v>20</v>
      </c>
      <c r="L7" s="9">
        <f t="shared" si="0"/>
        <v>14</v>
      </c>
      <c r="M7" s="10">
        <f t="shared" si="1"/>
        <v>19.446334999083774</v>
      </c>
      <c r="N7">
        <v>20</v>
      </c>
    </row>
    <row r="8" spans="2:14" ht="15.75" thickBot="1" x14ac:dyDescent="0.3">
      <c r="B8">
        <v>387</v>
      </c>
      <c r="C8" s="1">
        <v>25</v>
      </c>
      <c r="D8" s="3">
        <v>387</v>
      </c>
      <c r="F8" s="11" t="s">
        <v>15</v>
      </c>
      <c r="K8" s="1">
        <v>25</v>
      </c>
      <c r="L8" s="9">
        <f t="shared" si="0"/>
        <v>13</v>
      </c>
      <c r="M8" s="10">
        <f t="shared" si="1"/>
        <v>18.057185669094906</v>
      </c>
      <c r="N8">
        <v>25</v>
      </c>
    </row>
    <row r="9" spans="2:14" ht="15.75" thickBot="1" x14ac:dyDescent="0.3">
      <c r="B9">
        <v>388</v>
      </c>
      <c r="C9" s="2">
        <v>30</v>
      </c>
      <c r="D9" s="4">
        <v>388</v>
      </c>
      <c r="F9" s="12">
        <f>M4+M5+M6+M7+M8+M9+M10+M11+M12+M13+M14+M15+M16+M17+M18+M19+M20+M21</f>
        <v>212.51721748049022</v>
      </c>
      <c r="K9" s="2">
        <v>30</v>
      </c>
      <c r="L9" s="9">
        <f t="shared" si="0"/>
        <v>12</v>
      </c>
      <c r="M9" s="10">
        <f t="shared" si="1"/>
        <v>16.668055632719188</v>
      </c>
      <c r="N9">
        <v>30</v>
      </c>
    </row>
    <row r="10" spans="2:14" ht="15.75" thickBot="1" x14ac:dyDescent="0.3">
      <c r="B10">
        <v>389</v>
      </c>
      <c r="C10" s="2">
        <v>35</v>
      </c>
      <c r="D10" s="3">
        <v>389</v>
      </c>
      <c r="K10" s="2">
        <v>35</v>
      </c>
      <c r="L10" s="9">
        <f t="shared" si="0"/>
        <v>11</v>
      </c>
      <c r="M10" s="10">
        <f t="shared" si="1"/>
        <v>15.278944889680133</v>
      </c>
      <c r="N10">
        <v>35</v>
      </c>
    </row>
    <row r="11" spans="2:14" ht="15.75" thickBot="1" x14ac:dyDescent="0.3">
      <c r="B11">
        <v>390</v>
      </c>
      <c r="C11" s="2">
        <v>40</v>
      </c>
      <c r="D11" s="4">
        <v>390</v>
      </c>
      <c r="K11" s="2">
        <v>40</v>
      </c>
      <c r="L11" s="9">
        <f t="shared" si="0"/>
        <v>10</v>
      </c>
      <c r="M11" s="10">
        <f t="shared" si="1"/>
        <v>13.889853439701255</v>
      </c>
      <c r="N11">
        <v>40</v>
      </c>
    </row>
    <row r="12" spans="2:14" ht="15.75" thickBot="1" x14ac:dyDescent="0.3">
      <c r="B12">
        <v>391</v>
      </c>
      <c r="C12" s="1">
        <v>45</v>
      </c>
      <c r="D12" s="3">
        <v>391</v>
      </c>
      <c r="K12" s="1">
        <v>45</v>
      </c>
      <c r="L12" s="9">
        <f t="shared" si="0"/>
        <v>9</v>
      </c>
      <c r="M12" s="10">
        <f t="shared" si="1"/>
        <v>12.500781282549724</v>
      </c>
      <c r="N12">
        <v>45</v>
      </c>
    </row>
    <row r="13" spans="2:14" ht="15.75" thickBot="1" x14ac:dyDescent="0.3">
      <c r="B13">
        <v>392</v>
      </c>
      <c r="C13" s="2">
        <v>50</v>
      </c>
      <c r="D13" s="4">
        <v>392</v>
      </c>
      <c r="K13" s="2">
        <v>50</v>
      </c>
      <c r="L13" s="9">
        <f t="shared" si="0"/>
        <v>8</v>
      </c>
      <c r="M13" s="10">
        <f t="shared" si="1"/>
        <v>11.111728417919949</v>
      </c>
      <c r="N13">
        <v>50</v>
      </c>
    </row>
    <row r="14" spans="2:14" ht="15.75" thickBot="1" x14ac:dyDescent="0.3">
      <c r="B14">
        <v>393</v>
      </c>
      <c r="C14" s="2">
        <v>55</v>
      </c>
      <c r="D14" s="3">
        <v>393</v>
      </c>
      <c r="K14" s="2">
        <v>55</v>
      </c>
      <c r="L14" s="9">
        <f t="shared" si="0"/>
        <v>7</v>
      </c>
      <c r="M14" s="10">
        <f t="shared" si="1"/>
        <v>9.722694845564547</v>
      </c>
      <c r="N14">
        <v>55</v>
      </c>
    </row>
    <row r="15" spans="2:14" ht="15.75" thickBot="1" x14ac:dyDescent="0.3">
      <c r="B15">
        <v>394</v>
      </c>
      <c r="C15" s="2">
        <v>60</v>
      </c>
      <c r="D15" s="4">
        <v>394</v>
      </c>
      <c r="K15" s="2">
        <v>60</v>
      </c>
      <c r="L15" s="9">
        <f t="shared" si="0"/>
        <v>6</v>
      </c>
      <c r="M15" s="10">
        <f t="shared" si="1"/>
        <v>8.3336805652070325</v>
      </c>
      <c r="N15">
        <v>60</v>
      </c>
    </row>
    <row r="16" spans="2:14" ht="15.75" thickBot="1" x14ac:dyDescent="0.3">
      <c r="B16">
        <v>395</v>
      </c>
      <c r="C16" s="1">
        <v>65</v>
      </c>
      <c r="D16" s="3">
        <v>395</v>
      </c>
      <c r="K16" s="1">
        <v>65</v>
      </c>
      <c r="L16" s="9">
        <f t="shared" si="0"/>
        <v>5</v>
      </c>
      <c r="M16" s="10">
        <f t="shared" si="1"/>
        <v>6.9446855765563669</v>
      </c>
      <c r="N16">
        <v>65</v>
      </c>
    </row>
    <row r="17" spans="2:14" ht="15.75" thickBot="1" x14ac:dyDescent="0.3">
      <c r="B17">
        <v>396</v>
      </c>
      <c r="C17" s="2">
        <v>70</v>
      </c>
      <c r="D17" s="4">
        <v>396</v>
      </c>
      <c r="K17" s="2">
        <v>70</v>
      </c>
      <c r="L17" s="9">
        <f t="shared" si="0"/>
        <v>4</v>
      </c>
      <c r="M17" s="10">
        <f t="shared" si="1"/>
        <v>5.5557098793942714</v>
      </c>
      <c r="N17">
        <v>70</v>
      </c>
    </row>
    <row r="18" spans="2:14" ht="15.75" thickBot="1" x14ac:dyDescent="0.3">
      <c r="B18">
        <v>397</v>
      </c>
      <c r="C18" s="2">
        <v>75</v>
      </c>
      <c r="D18" s="3">
        <v>397</v>
      </c>
      <c r="K18" s="2">
        <v>75</v>
      </c>
      <c r="L18" s="9">
        <f t="shared" si="0"/>
        <v>3</v>
      </c>
      <c r="M18" s="10">
        <f t="shared" si="1"/>
        <v>4.1667534734297078</v>
      </c>
      <c r="N18">
        <v>75</v>
      </c>
    </row>
    <row r="19" spans="2:14" ht="15.75" thickBot="1" x14ac:dyDescent="0.3">
      <c r="B19">
        <v>398</v>
      </c>
      <c r="C19" s="2">
        <v>80</v>
      </c>
      <c r="D19" s="4">
        <v>398</v>
      </c>
      <c r="K19" s="2">
        <v>80</v>
      </c>
      <c r="L19" s="9">
        <f t="shared" si="0"/>
        <v>2</v>
      </c>
      <c r="M19" s="10">
        <f t="shared" si="1"/>
        <v>2.7778163583861897</v>
      </c>
      <c r="N19">
        <v>80</v>
      </c>
    </row>
    <row r="20" spans="2:14" ht="15.75" thickBot="1" x14ac:dyDescent="0.3">
      <c r="B20">
        <v>399</v>
      </c>
      <c r="C20" s="1">
        <v>85</v>
      </c>
      <c r="D20" s="3">
        <v>399</v>
      </c>
      <c r="K20" s="1">
        <v>85</v>
      </c>
      <c r="L20" s="9">
        <f t="shared" si="0"/>
        <v>1</v>
      </c>
      <c r="M20" s="10">
        <f t="shared" si="1"/>
        <v>1.3888985340017825</v>
      </c>
      <c r="N20">
        <v>85</v>
      </c>
    </row>
    <row r="21" spans="2:14" ht="15.75" thickBot="1" x14ac:dyDescent="0.3">
      <c r="B21">
        <v>400</v>
      </c>
      <c r="C21" s="2">
        <v>90</v>
      </c>
      <c r="D21" s="4">
        <v>400</v>
      </c>
      <c r="K21" s="2">
        <v>90</v>
      </c>
      <c r="L21" s="9">
        <f t="shared" si="0"/>
        <v>0</v>
      </c>
      <c r="M21" s="10">
        <f t="shared" si="1"/>
        <v>0</v>
      </c>
      <c r="N21">
        <v>90</v>
      </c>
    </row>
    <row r="37" spans="2:2" x14ac:dyDescent="0.25">
      <c r="B37" s="3">
        <v>383</v>
      </c>
    </row>
    <row r="38" spans="2:2" x14ac:dyDescent="0.25">
      <c r="B38" s="4">
        <v>384</v>
      </c>
    </row>
    <row r="39" spans="2:2" x14ac:dyDescent="0.25">
      <c r="B39" s="3">
        <v>385</v>
      </c>
    </row>
    <row r="40" spans="2:2" x14ac:dyDescent="0.25">
      <c r="B40" s="4">
        <v>386</v>
      </c>
    </row>
    <row r="41" spans="2:2" x14ac:dyDescent="0.25">
      <c r="B41" s="3">
        <v>387</v>
      </c>
    </row>
    <row r="42" spans="2:2" x14ac:dyDescent="0.25">
      <c r="B42" s="4">
        <v>388</v>
      </c>
    </row>
    <row r="43" spans="2:2" x14ac:dyDescent="0.25">
      <c r="B43" s="3">
        <v>389</v>
      </c>
    </row>
    <row r="44" spans="2:2" x14ac:dyDescent="0.25">
      <c r="B44" s="4">
        <v>390</v>
      </c>
    </row>
    <row r="45" spans="2:2" x14ac:dyDescent="0.25">
      <c r="B45" s="3">
        <v>391</v>
      </c>
    </row>
    <row r="46" spans="2:2" x14ac:dyDescent="0.25">
      <c r="B46" s="4">
        <v>392</v>
      </c>
    </row>
    <row r="47" spans="2:2" x14ac:dyDescent="0.25">
      <c r="B47" s="3">
        <v>393</v>
      </c>
    </row>
    <row r="48" spans="2:2" x14ac:dyDescent="0.25">
      <c r="B48" s="4">
        <v>394</v>
      </c>
    </row>
    <row r="49" spans="2:2" x14ac:dyDescent="0.25">
      <c r="B49" s="3">
        <v>395</v>
      </c>
    </row>
    <row r="50" spans="2:2" x14ac:dyDescent="0.25">
      <c r="B50" s="4">
        <v>396</v>
      </c>
    </row>
    <row r="51" spans="2:2" x14ac:dyDescent="0.25">
      <c r="B51" s="3">
        <v>397</v>
      </c>
    </row>
    <row r="52" spans="2:2" x14ac:dyDescent="0.25">
      <c r="B52" s="4">
        <v>398</v>
      </c>
    </row>
    <row r="53" spans="2:2" x14ac:dyDescent="0.25">
      <c r="B53" s="3">
        <v>399</v>
      </c>
    </row>
    <row r="54" spans="2:2" x14ac:dyDescent="0.25">
      <c r="B54" s="4">
        <v>400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7EF202C489544903AE9974BF39310" ma:contentTypeVersion="4" ma:contentTypeDescription="Create a new document." ma:contentTypeScope="" ma:versionID="59bc2029951f676e9f30c2cc126892cb">
  <xsd:schema xmlns:xsd="http://www.w3.org/2001/XMLSchema" xmlns:xs="http://www.w3.org/2001/XMLSchema" xmlns:p="http://schemas.microsoft.com/office/2006/metadata/properties" xmlns:ns3="aa22a689-7505-4716-b802-371d38c763eb" targetNamespace="http://schemas.microsoft.com/office/2006/metadata/properties" ma:root="true" ma:fieldsID="11ccfcbd33bee6523d6e1d1941903c6f" ns3:_="">
    <xsd:import namespace="aa22a689-7505-4716-b802-371d38c763e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2a689-7505-4716-b802-371d38c763e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30FE1F-335A-4239-809F-5035F48C25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22a689-7505-4716-b802-371d38c763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9A0C46-C089-4F3B-8422-B1294B79C4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6A7D22-6763-4F55-8AF2-C185753703BA}">
  <ds:schemaRefs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aa22a689-7505-4716-b802-371d38c763e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Daniel, Robert Nikolas</dc:creator>
  <cp:lastModifiedBy>Daniel, Robert Nikolas</cp:lastModifiedBy>
  <dcterms:created xsi:type="dcterms:W3CDTF">2026-09-14T21:55:19Z</dcterms:created>
  <dcterms:modified xsi:type="dcterms:W3CDTF">2026-09-14T23:02:57Z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0x0101007527EF202C489544903AE9974BF39310</vt:lpwstr>
  </property>
</Properties>
</file>